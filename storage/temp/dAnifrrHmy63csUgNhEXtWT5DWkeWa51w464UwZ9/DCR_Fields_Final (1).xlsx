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ggernaut\Personal\Audit Project\Sudhir Project\Masters\"/>
    </mc:Choice>
  </mc:AlternateContent>
  <xr:revisionPtr revIDLastSave="0" documentId="13_ncr:1_{54A8CF57-AD16-4808-AF8A-40BF4BDAEB62}" xr6:coauthVersionLast="47" xr6:coauthVersionMax="47" xr10:uidLastSave="{00000000-0000-0000-0000-000000000000}"/>
  <bookViews>
    <workbookView xWindow="-120" yWindow="-120" windowWidth="20730" windowHeight="11160" xr2:uid="{1FBAF7EC-5F0F-4E20-8F17-0E39EC58190C}"/>
  </bookViews>
  <sheets>
    <sheet name="Sheet1" sheetId="1" r:id="rId1"/>
    <sheet name="Sheet2" sheetId="2" r:id="rId2"/>
  </sheets>
  <definedNames>
    <definedName name="_xlnm._FilterDatabase" localSheetId="0" hidden="1">Sheet1!$A$1:$C$106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1" l="1"/>
</calcChain>
</file>

<file path=xl/sharedStrings.xml><?xml version="1.0" encoding="utf-8"?>
<sst xmlns="http://schemas.openxmlformats.org/spreadsheetml/2006/main" count="429" uniqueCount="271">
  <si>
    <t>Date</t>
  </si>
  <si>
    <t>COP Date</t>
  </si>
  <si>
    <t>Script Location</t>
  </si>
  <si>
    <t>Location</t>
  </si>
  <si>
    <t>Unit</t>
  </si>
  <si>
    <t>Type</t>
  </si>
  <si>
    <t>Unit Shift Time</t>
  </si>
  <si>
    <t>Unit Roll Time</t>
  </si>
  <si>
    <t>Unit End
Time</t>
  </si>
  <si>
    <t>Remark</t>
  </si>
  <si>
    <t>DATE</t>
  </si>
  <si>
    <t>DEPARTMENT</t>
  </si>
  <si>
    <t>DESIGNATION</t>
  </si>
  <si>
    <t>Rate</t>
  </si>
  <si>
    <t>CALL TIME</t>
  </si>
  <si>
    <t>IN TIME</t>
  </si>
  <si>
    <t>REMARK</t>
  </si>
  <si>
    <t>Action Day</t>
  </si>
  <si>
    <t>In Time</t>
  </si>
  <si>
    <t>Out Time</t>
  </si>
  <si>
    <t>Shift</t>
  </si>
  <si>
    <t>Count</t>
  </si>
  <si>
    <t>Breakfast</t>
  </si>
  <si>
    <t>Lunch</t>
  </si>
  <si>
    <t>Washing</t>
  </si>
  <si>
    <t>Dialogues</t>
  </si>
  <si>
    <t>UNIT</t>
  </si>
  <si>
    <t>AMOUNT</t>
  </si>
  <si>
    <t>RATE</t>
  </si>
  <si>
    <t>Discount</t>
  </si>
  <si>
    <t>Amount</t>
  </si>
  <si>
    <t>COP DATE</t>
  </si>
  <si>
    <t>LOCATION</t>
  </si>
  <si>
    <t>Asset / Expense</t>
  </si>
  <si>
    <t>Vehicle Name</t>
  </si>
  <si>
    <t>Basic Amount</t>
  </si>
  <si>
    <t>Extra Km</t>
  </si>
  <si>
    <t>Toll</t>
  </si>
  <si>
    <t>Travel Date</t>
  </si>
  <si>
    <t>Class</t>
  </si>
  <si>
    <t>Departure</t>
  </si>
  <si>
    <t>Arrival</t>
  </si>
  <si>
    <t>Agency Cost</t>
  </si>
  <si>
    <t>HOTEL NAME</t>
  </si>
  <si>
    <t>Day 1</t>
  </si>
  <si>
    <t>Day 2</t>
  </si>
  <si>
    <t>Day 3</t>
  </si>
  <si>
    <t>Day 4</t>
  </si>
  <si>
    <t>Shoot Day</t>
  </si>
  <si>
    <t>Non-Shoot Day</t>
  </si>
  <si>
    <t>Setup Day</t>
  </si>
  <si>
    <t>Look Test</t>
  </si>
  <si>
    <t>Dismantle Day</t>
  </si>
  <si>
    <t>Shoot + Dismantle Day</t>
  </si>
  <si>
    <t>Shoot + Setup + Dismantle Day</t>
  </si>
  <si>
    <t>Shoot + Setup Day</t>
  </si>
  <si>
    <t>Rehearsal</t>
  </si>
  <si>
    <t>Travel</t>
  </si>
  <si>
    <t>Day/ Actiity</t>
  </si>
  <si>
    <t>Commission of Travel Agent</t>
  </si>
  <si>
    <t>Driver Allowance</t>
  </si>
  <si>
    <t>Extra Shift</t>
  </si>
  <si>
    <t>R/S</t>
  </si>
  <si>
    <t>Day 1, Day 2</t>
  </si>
  <si>
    <t>Base Amount</t>
  </si>
  <si>
    <t>Whether it is Asset or Expense</t>
  </si>
  <si>
    <t>Base Amount of Transportation</t>
  </si>
  <si>
    <t>This will be automatically captured by System against validation</t>
  </si>
  <si>
    <t>Vendor / Cheque in favour of where making a payment to Spotboy Head fr all Spotbous</t>
  </si>
  <si>
    <t>Conveyance</t>
  </si>
  <si>
    <t>Call Time for Shooting</t>
  </si>
  <si>
    <t>Name of the Character</t>
  </si>
  <si>
    <t>Code Number</t>
  </si>
  <si>
    <t>Nature</t>
  </si>
  <si>
    <t>System Date</t>
  </si>
  <si>
    <t>Shift Amount</t>
  </si>
  <si>
    <t>Beyond Mumbai (Travel Cost)</t>
  </si>
  <si>
    <t>Call Time</t>
  </si>
  <si>
    <t>Department</t>
  </si>
  <si>
    <t>Designation</t>
  </si>
  <si>
    <t>Extra Shift Charges</t>
  </si>
  <si>
    <t>Food</t>
  </si>
  <si>
    <t>Hotel Name</t>
  </si>
  <si>
    <t>Item</t>
  </si>
  <si>
    <t>Kw</t>
  </si>
  <si>
    <t>Laundry</t>
  </si>
  <si>
    <t>Transport</t>
  </si>
  <si>
    <t>Shoot Date</t>
  </si>
  <si>
    <t>Quantity</t>
  </si>
  <si>
    <t>Other Charges</t>
  </si>
  <si>
    <t>Different Rate for Beyond Mumbai</t>
  </si>
  <si>
    <t>Generator Start Time</t>
  </si>
  <si>
    <t>Generator End Time</t>
  </si>
  <si>
    <t>Sub Location</t>
  </si>
  <si>
    <t>CATEGORY</t>
  </si>
  <si>
    <t>BUDGET CODE</t>
  </si>
  <si>
    <t>BUDGET HEAD</t>
  </si>
  <si>
    <t>BUDGET SUB HEAD</t>
  </si>
  <si>
    <t>SUB LOCATION</t>
  </si>
  <si>
    <t>SCRIPT LOCATION</t>
  </si>
  <si>
    <t>VENDOR
  NAME</t>
  </si>
  <si>
    <t>VENDOR
SUB  NAME</t>
  </si>
  <si>
    <t>DESCRIPTION/ PARTICULARS</t>
  </si>
  <si>
    <t>NATURE OF DAY</t>
  </si>
  <si>
    <t>SHIFT TIME</t>
  </si>
  <si>
    <t>ROLL TIME</t>
  </si>
  <si>
    <t>END TIME</t>
  </si>
  <si>
    <t>NO. OF EXTRA HOURS</t>
  </si>
  <si>
    <t>PER SHIFT RATE</t>
  </si>
  <si>
    <t>PER HOUR RATE</t>
  </si>
  <si>
    <t>EXTRA HOUR AMOUNT</t>
  </si>
  <si>
    <t>NO.OF SHIFT</t>
  </si>
  <si>
    <t>SHIFT AMOUNT</t>
  </si>
  <si>
    <t>ELECTRICITY METER NO</t>
  </si>
  <si>
    <t>ELECTRICITY UNIT START NO</t>
  </si>
  <si>
    <t>ELECTRICITY UNIT END NO</t>
  </si>
  <si>
    <t>ELECTRICITY UNITS CONSUMED</t>
  </si>
  <si>
    <t>TYPE OF METER</t>
  </si>
  <si>
    <t>ELECTRICITY UNITS CONSUMED ( AS PER METER TYPE )</t>
  </si>
  <si>
    <t>DISCOUNT</t>
  </si>
  <si>
    <t>TOTAL INCL.EXTRA SHIFT</t>
  </si>
  <si>
    <t>QUANTITY</t>
  </si>
  <si>
    <t>DOCUMENT NO. (Challan No. /Bill No.)</t>
  </si>
  <si>
    <t>DOCUMENT ATTACHMENT</t>
  </si>
  <si>
    <t>WHETHER PURCHASE OR HIRE</t>
  </si>
  <si>
    <t>CHARACTER NAME</t>
  </si>
  <si>
    <t>TOTAL AMOUNT</t>
  </si>
  <si>
    <t>VEHICLE NO.</t>
  </si>
  <si>
    <t>DUTY TYPE</t>
  </si>
  <si>
    <t>PASSENGER NAME</t>
  </si>
  <si>
    <t>START DATE</t>
  </si>
  <si>
    <t>END DATE</t>
  </si>
  <si>
    <t>START TIME</t>
  </si>
  <si>
    <t>START KM</t>
  </si>
  <si>
    <t>END KM</t>
  </si>
  <si>
    <t>EXTRA KM</t>
  </si>
  <si>
    <t>TOTAL KM</t>
  </si>
  <si>
    <t>TOTAL HOURS</t>
  </si>
  <si>
    <t>EXTRA KM COST</t>
  </si>
  <si>
    <t>BASIC AMOUNT</t>
  </si>
  <si>
    <t>TOLL</t>
  </si>
  <si>
    <t>OUTSTATION CHARGES</t>
  </si>
  <si>
    <t>DRIVER ALLOWANCE</t>
  </si>
  <si>
    <t>PARKING CHARGES</t>
  </si>
  <si>
    <t>TRAVEL MODE</t>
  </si>
  <si>
    <t>FARE</t>
  </si>
  <si>
    <t>EXCESS BAGGAGE  / LUGGAGE</t>
  </si>
  <si>
    <t>AUDIT OBSERVATION</t>
  </si>
  <si>
    <t>Audit Observation</t>
  </si>
  <si>
    <t>Budget Code</t>
  </si>
  <si>
    <t>Budget Head</t>
  </si>
  <si>
    <t>Budget Sub head</t>
  </si>
  <si>
    <t>Category</t>
  </si>
  <si>
    <t>Character Name</t>
  </si>
  <si>
    <t>Description/ Particulars</t>
  </si>
  <si>
    <t>Document No. (Challan No. /Bill No.)</t>
  </si>
  <si>
    <t>Duty Slip No.</t>
  </si>
  <si>
    <t>Duty Type</t>
  </si>
  <si>
    <t>Electricity Meter No</t>
  </si>
  <si>
    <t>Electricity Unit End No</t>
  </si>
  <si>
    <t>Electricity Unit Start No</t>
  </si>
  <si>
    <t>Electricity Units Consumed</t>
  </si>
  <si>
    <t>Electricity Units Consumed ( As Per Meter Type )</t>
  </si>
  <si>
    <t>End Date</t>
  </si>
  <si>
    <t>End Km</t>
  </si>
  <si>
    <t>End Time</t>
  </si>
  <si>
    <t>Excess Baggage  / Luggage</t>
  </si>
  <si>
    <t>Extra Hour Amount</t>
  </si>
  <si>
    <t>Extra Km Cost</t>
  </si>
  <si>
    <t>Fare</t>
  </si>
  <si>
    <t>Final Amount (After Discount / Gst)</t>
  </si>
  <si>
    <t>Document Attachment</t>
  </si>
  <si>
    <t>Nature of Day</t>
  </si>
  <si>
    <t>No. Of Extra Hours</t>
  </si>
  <si>
    <t>No. Of Hours (Time Format)</t>
  </si>
  <si>
    <t>No.Of Shift</t>
  </si>
  <si>
    <t>Outstation Charges</t>
  </si>
  <si>
    <t>Parking Charges</t>
  </si>
  <si>
    <t>Passenger Name</t>
  </si>
  <si>
    <t>Per Day Rate</t>
  </si>
  <si>
    <t>Per Hour Rate</t>
  </si>
  <si>
    <t>Per Shift Rate</t>
  </si>
  <si>
    <t>Roll Time</t>
  </si>
  <si>
    <t>Shift Time</t>
  </si>
  <si>
    <t>Start Date</t>
  </si>
  <si>
    <t>Start KM</t>
  </si>
  <si>
    <t>Start Time</t>
  </si>
  <si>
    <t>Total Amount</t>
  </si>
  <si>
    <t>Total Hours</t>
  </si>
  <si>
    <t>Total Incl.Extra Shift</t>
  </si>
  <si>
    <t>Total KM</t>
  </si>
  <si>
    <t>Travel Mode</t>
  </si>
  <si>
    <t>Type of Meter</t>
  </si>
  <si>
    <t>Vehicle No.</t>
  </si>
  <si>
    <t>Vendor
  Name</t>
  </si>
  <si>
    <t>Vendor
Sub  Name</t>
  </si>
  <si>
    <t>DCR Fields</t>
  </si>
  <si>
    <t>DCR Fields (Already Captured)</t>
  </si>
  <si>
    <t>Whether Purchase Or Hire</t>
  </si>
  <si>
    <t>New Field</t>
  </si>
  <si>
    <t>FINAL AMOUNT (After Discount)</t>
  </si>
  <si>
    <t>Rename this field</t>
  </si>
  <si>
    <t>Rename it to Purchase / Hire and give dropdown menu to select purchase or hire</t>
  </si>
  <si>
    <t>Give drop Down to select Asset and Expense</t>
  </si>
  <si>
    <t>Text/Dropdown</t>
  </si>
  <si>
    <t>Time</t>
  </si>
  <si>
    <t>Alfa Numeric</t>
  </si>
  <si>
    <t>Flight/Train</t>
  </si>
  <si>
    <t>Dropdown list</t>
  </si>
  <si>
    <t>20 Liter Jar</t>
  </si>
  <si>
    <t>200ml Clear Water Box</t>
  </si>
  <si>
    <t>Dispenser</t>
  </si>
  <si>
    <t>Food Transport</t>
  </si>
  <si>
    <t>Snacks</t>
  </si>
  <si>
    <t>Lunch(A)</t>
  </si>
  <si>
    <t>Lunch(B)</t>
  </si>
  <si>
    <t>Snacks(A)</t>
  </si>
  <si>
    <t>Snacks (B)</t>
  </si>
  <si>
    <t>Breakfast(A)</t>
  </si>
  <si>
    <t>Breakfast(B)</t>
  </si>
  <si>
    <t>Dinner</t>
  </si>
  <si>
    <t>Sence Food</t>
  </si>
  <si>
    <t>Dinner(A)</t>
  </si>
  <si>
    <t>Dinner(B)</t>
  </si>
  <si>
    <t>Snacks (A)</t>
  </si>
  <si>
    <t>Shoot Food</t>
  </si>
  <si>
    <t>Breakfast (Junior)</t>
  </si>
  <si>
    <t>Lunch (Junior)</t>
  </si>
  <si>
    <t>Snacks (Junior)</t>
  </si>
  <si>
    <t>20 LTR Jar</t>
  </si>
  <si>
    <t>Buffer</t>
  </si>
  <si>
    <t>Service Charges</t>
  </si>
  <si>
    <t>250ml Bisleri Water Box</t>
  </si>
  <si>
    <t>Tanker</t>
  </si>
  <si>
    <t>Numeric</t>
  </si>
  <si>
    <t>Kind of allowance to Jr.Artists &amp; Dancers</t>
  </si>
  <si>
    <t>Invoice No.</t>
  </si>
  <si>
    <t>ATL/BTL Etc</t>
  </si>
  <si>
    <t>Drop Down</t>
  </si>
  <si>
    <t>Business</t>
  </si>
  <si>
    <t>Economy</t>
  </si>
  <si>
    <t>First</t>
  </si>
  <si>
    <t>Second</t>
  </si>
  <si>
    <t>Etc.</t>
  </si>
  <si>
    <t>Count of Crew Member (Juniors, Dancer's etc.)</t>
  </si>
  <si>
    <t>Various Department Names</t>
  </si>
  <si>
    <t>Travelling From (City Name)</t>
  </si>
  <si>
    <t>Travelling To (City Name)</t>
  </si>
  <si>
    <t>Various Designation Names</t>
  </si>
  <si>
    <t>Discount Amount</t>
  </si>
  <si>
    <t>Document to be attached</t>
  </si>
  <si>
    <t>Action Reharsal</t>
  </si>
  <si>
    <t>Camera Test</t>
  </si>
  <si>
    <t>Setup</t>
  </si>
  <si>
    <t>Staff</t>
  </si>
  <si>
    <t>Manager Fees</t>
  </si>
  <si>
    <t>Shoot</t>
  </si>
  <si>
    <t>Permission</t>
  </si>
  <si>
    <t>Extra HR</t>
  </si>
  <si>
    <t>Dissmental</t>
  </si>
  <si>
    <t>Electricity</t>
  </si>
  <si>
    <t>Makeup Room</t>
  </si>
  <si>
    <t>Extra Loction</t>
  </si>
  <si>
    <t>LLP Manager Fees</t>
  </si>
  <si>
    <t>(B)Cam+ Drone</t>
  </si>
  <si>
    <t>Extra</t>
  </si>
  <si>
    <t>Base loction</t>
  </si>
  <si>
    <t>Alfa</t>
  </si>
  <si>
    <t>To be used for hotel food</t>
  </si>
  <si>
    <t>To be used for hotel</t>
  </si>
  <si>
    <t>Purchase/Hire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</si>
</sst>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2B54-843B-4DFD-A5F2-A080B185A0BE}">
  <dimension ref="A1:Y106"/>
  <sheetViews>
    <sheetView tabSelected="1" topLeftCell="A83" workbookViewId="0">
      <selection activeCell="D96" sqref="D96"/>
    </sheetView>
  </sheetViews>
  <sheetFormatPr defaultRowHeight="15" x14ac:dyDescent="0.25"/>
  <cols>
    <col min="1" max="1" width="24.5703125" style="1" customWidth="1"/>
    <col min="2" max="2" width="38.5703125" style="1" customWidth="1"/>
    <col min="3" max="3" width="27.28515625" customWidth="1"/>
    <col min="4" max="4" width="37.7109375" style="8" customWidth="1"/>
  </cols>
  <sheetData>
    <row r="1" spans="1:25" x14ac:dyDescent="0.25">
      <c r="A1" s="5" t="s">
        <v>196</v>
      </c>
      <c r="B1" s="5" t="s">
        <v>197</v>
      </c>
      <c r="C1" s="2"/>
      <c r="D1" s="8">
        <v>2</v>
      </c>
    </row>
    <row r="2" spans="1:25" x14ac:dyDescent="0.25">
      <c r="A2" s="6" t="s">
        <v>17</v>
      </c>
      <c r="B2" s="7" t="s">
        <v>199</v>
      </c>
      <c r="C2" s="3" t="s">
        <v>267</v>
      </c>
      <c r="D2" s="8" t="s">
        <v>63</v>
      </c>
      <c r="X2" s="1"/>
      <c r="Y2" s="1"/>
    </row>
    <row r="3" spans="1:25" x14ac:dyDescent="0.25">
      <c r="A3" s="6" t="s">
        <v>42</v>
      </c>
      <c r="B3" s="7" t="s">
        <v>199</v>
      </c>
      <c r="C3" s="3" t="s">
        <v>234</v>
      </c>
      <c r="D3" s="8" t="s">
        <v>59</v>
      </c>
    </row>
    <row r="4" spans="1:25" x14ac:dyDescent="0.25">
      <c r="A4" s="6" t="s">
        <v>30</v>
      </c>
      <c r="B4" s="6" t="s">
        <v>27</v>
      </c>
      <c r="C4" s="4" t="s">
        <v>234</v>
      </c>
      <c r="D4" s="8" t="s">
        <v>64</v>
      </c>
    </row>
    <row r="5" spans="1:25" x14ac:dyDescent="0.25">
      <c r="A5" s="6" t="s">
        <v>41</v>
      </c>
      <c r="B5" s="7" t="s">
        <v>199</v>
      </c>
      <c r="C5" s="3" t="s">
        <v>267</v>
      </c>
      <c r="D5" s="8" t="s">
        <v>247</v>
      </c>
    </row>
    <row r="6" spans="1:25" x14ac:dyDescent="0.25">
      <c r="A6" s="6" t="s">
        <v>33</v>
      </c>
      <c r="B6" s="7" t="s">
        <v>199</v>
      </c>
      <c r="C6" s="3" t="s">
        <v>204</v>
      </c>
      <c r="D6" s="8" t="s">
        <v>65</v>
      </c>
      <c r="E6" t="s">
        <v>203</v>
      </c>
    </row>
    <row r="7" spans="1:25" x14ac:dyDescent="0.25">
      <c r="A7" s="6" t="s">
        <v>148</v>
      </c>
      <c r="B7" s="6" t="s">
        <v>147</v>
      </c>
      <c r="C7" s="4" t="s">
        <v>267</v>
      </c>
    </row>
    <row r="8" spans="1:25" x14ac:dyDescent="0.25">
      <c r="A8" s="6" t="s">
        <v>35</v>
      </c>
      <c r="B8" s="6" t="s">
        <v>139</v>
      </c>
      <c r="C8" s="4" t="s">
        <v>234</v>
      </c>
      <c r="D8" s="8" t="s">
        <v>66</v>
      </c>
    </row>
    <row r="9" spans="1:25" ht="30" x14ac:dyDescent="0.25">
      <c r="A9" s="6" t="s">
        <v>76</v>
      </c>
      <c r="B9" s="7" t="s">
        <v>199</v>
      </c>
      <c r="C9" s="3" t="s">
        <v>234</v>
      </c>
      <c r="D9" s="8" t="s">
        <v>90</v>
      </c>
    </row>
    <row r="10" spans="1:25" x14ac:dyDescent="0.25">
      <c r="A10" s="6" t="s">
        <v>236</v>
      </c>
      <c r="B10" s="7" t="s">
        <v>199</v>
      </c>
      <c r="C10" s="3" t="s">
        <v>206</v>
      </c>
      <c r="D10" s="8" t="s">
        <v>67</v>
      </c>
    </row>
    <row r="11" spans="1:25" x14ac:dyDescent="0.25">
      <c r="A11" s="6" t="s">
        <v>22</v>
      </c>
      <c r="B11" s="7" t="s">
        <v>199</v>
      </c>
      <c r="C11" s="3" t="s">
        <v>234</v>
      </c>
      <c r="D11" s="8" t="s">
        <v>235</v>
      </c>
    </row>
    <row r="12" spans="1:25" x14ac:dyDescent="0.25">
      <c r="A12" s="6" t="s">
        <v>149</v>
      </c>
      <c r="B12" s="6" t="s">
        <v>95</v>
      </c>
      <c r="C12" s="4" t="s">
        <v>234</v>
      </c>
      <c r="D12" s="8" t="s">
        <v>72</v>
      </c>
    </row>
    <row r="13" spans="1:25" x14ac:dyDescent="0.25">
      <c r="A13" s="6" t="s">
        <v>150</v>
      </c>
      <c r="B13" s="6" t="s">
        <v>96</v>
      </c>
      <c r="C13" s="4" t="s">
        <v>267</v>
      </c>
      <c r="D13" s="8" t="s">
        <v>150</v>
      </c>
    </row>
    <row r="14" spans="1:25" x14ac:dyDescent="0.25">
      <c r="A14" s="6" t="s">
        <v>151</v>
      </c>
      <c r="B14" s="6" t="s">
        <v>97</v>
      </c>
      <c r="C14" s="4" t="s">
        <v>267</v>
      </c>
      <c r="D14" s="8" t="s">
        <v>151</v>
      </c>
    </row>
    <row r="15" spans="1:25" x14ac:dyDescent="0.25">
      <c r="A15" s="6" t="s">
        <v>77</v>
      </c>
      <c r="B15" s="6" t="s">
        <v>14</v>
      </c>
      <c r="C15" s="4" t="s">
        <v>205</v>
      </c>
      <c r="D15" s="8" t="s">
        <v>70</v>
      </c>
    </row>
    <row r="16" spans="1:25" x14ac:dyDescent="0.25">
      <c r="A16" s="6" t="s">
        <v>152</v>
      </c>
      <c r="B16" s="6" t="s">
        <v>94</v>
      </c>
      <c r="C16" s="4" t="s">
        <v>267</v>
      </c>
      <c r="D16" s="8" t="s">
        <v>237</v>
      </c>
    </row>
    <row r="17" spans="1:10" x14ac:dyDescent="0.25">
      <c r="A17" s="6" t="s">
        <v>153</v>
      </c>
      <c r="B17" s="6" t="s">
        <v>125</v>
      </c>
      <c r="C17" s="4" t="s">
        <v>267</v>
      </c>
      <c r="D17" s="8" t="s">
        <v>71</v>
      </c>
    </row>
    <row r="18" spans="1:10" x14ac:dyDescent="0.25">
      <c r="A18" s="6" t="s">
        <v>39</v>
      </c>
      <c r="B18" s="7" t="s">
        <v>199</v>
      </c>
      <c r="C18" s="3" t="s">
        <v>267</v>
      </c>
      <c r="D18" s="8" t="s">
        <v>238</v>
      </c>
      <c r="E18" s="8" t="s">
        <v>239</v>
      </c>
    </row>
    <row r="19" spans="1:10" x14ac:dyDescent="0.25">
      <c r="A19" s="6" t="s">
        <v>69</v>
      </c>
      <c r="B19" s="7" t="s">
        <v>199</v>
      </c>
      <c r="C19" s="3" t="s">
        <v>234</v>
      </c>
      <c r="D19" s="8" t="s">
        <v>235</v>
      </c>
    </row>
    <row r="20" spans="1:10" x14ac:dyDescent="0.25">
      <c r="A20" s="6" t="s">
        <v>1</v>
      </c>
      <c r="B20" s="6" t="s">
        <v>31</v>
      </c>
      <c r="C20" s="4" t="s">
        <v>0</v>
      </c>
      <c r="D20" s="8" t="s">
        <v>87</v>
      </c>
    </row>
    <row r="21" spans="1:10" x14ac:dyDescent="0.25">
      <c r="A21" s="6" t="s">
        <v>21</v>
      </c>
      <c r="B21" s="7" t="s">
        <v>199</v>
      </c>
      <c r="C21" s="3" t="s">
        <v>234</v>
      </c>
      <c r="D21" s="8" t="s">
        <v>244</v>
      </c>
    </row>
    <row r="22" spans="1:10" x14ac:dyDescent="0.25">
      <c r="A22" s="6" t="s">
        <v>0</v>
      </c>
      <c r="B22" s="6" t="s">
        <v>10</v>
      </c>
      <c r="C22" s="4" t="s">
        <v>0</v>
      </c>
      <c r="D22" s="8" t="s">
        <v>74</v>
      </c>
    </row>
    <row r="23" spans="1:10" x14ac:dyDescent="0.25">
      <c r="A23" s="6" t="s">
        <v>78</v>
      </c>
      <c r="B23" s="6" t="s">
        <v>11</v>
      </c>
      <c r="C23" s="4" t="s">
        <v>267</v>
      </c>
      <c r="D23" s="8" t="s">
        <v>238</v>
      </c>
      <c r="E23" t="s">
        <v>245</v>
      </c>
    </row>
    <row r="24" spans="1:10" x14ac:dyDescent="0.25">
      <c r="A24" s="6" t="s">
        <v>40</v>
      </c>
      <c r="B24" s="7" t="s">
        <v>199</v>
      </c>
      <c r="C24" s="3" t="s">
        <v>267</v>
      </c>
      <c r="D24" s="8" t="s">
        <v>246</v>
      </c>
    </row>
    <row r="25" spans="1:10" x14ac:dyDescent="0.25">
      <c r="A25" s="6" t="s">
        <v>154</v>
      </c>
      <c r="B25" s="6" t="s">
        <v>102</v>
      </c>
      <c r="C25" s="4" t="s">
        <v>267</v>
      </c>
    </row>
    <row r="26" spans="1:10" x14ac:dyDescent="0.25">
      <c r="A26" s="6" t="s">
        <v>79</v>
      </c>
      <c r="B26" s="6" t="s">
        <v>12</v>
      </c>
      <c r="C26" s="4" t="s">
        <v>267</v>
      </c>
      <c r="D26" s="8" t="s">
        <v>238</v>
      </c>
      <c r="E26" t="s">
        <v>248</v>
      </c>
    </row>
    <row r="27" spans="1:10" x14ac:dyDescent="0.25">
      <c r="A27" s="6" t="s">
        <v>25</v>
      </c>
      <c r="B27" s="7" t="s">
        <v>199</v>
      </c>
      <c r="C27" s="3" t="s">
        <v>234</v>
      </c>
      <c r="D27" s="8" t="s">
        <v>235</v>
      </c>
    </row>
    <row r="28" spans="1:10" x14ac:dyDescent="0.25">
      <c r="A28" s="6" t="s">
        <v>220</v>
      </c>
      <c r="B28" s="7" t="s">
        <v>199</v>
      </c>
      <c r="C28" s="3" t="s">
        <v>234</v>
      </c>
      <c r="D28" s="8" t="s">
        <v>235</v>
      </c>
    </row>
    <row r="29" spans="1:10" x14ac:dyDescent="0.25">
      <c r="A29" s="6" t="s">
        <v>29</v>
      </c>
      <c r="B29" s="6" t="s">
        <v>119</v>
      </c>
      <c r="C29" s="4" t="s">
        <v>234</v>
      </c>
      <c r="D29" s="8" t="s">
        <v>249</v>
      </c>
    </row>
    <row r="30" spans="1:10" x14ac:dyDescent="0.25">
      <c r="A30" s="6" t="s">
        <v>171</v>
      </c>
      <c r="B30" s="6" t="s">
        <v>123</v>
      </c>
      <c r="C30" s="4"/>
      <c r="D30" s="8" t="s">
        <v>250</v>
      </c>
    </row>
    <row r="31" spans="1:10" ht="30" x14ac:dyDescent="0.25">
      <c r="A31" s="6" t="s">
        <v>155</v>
      </c>
      <c r="B31" s="6" t="s">
        <v>122</v>
      </c>
      <c r="C31" s="4" t="s">
        <v>206</v>
      </c>
      <c r="J31" t="str">
        <f>PROPER(A31)</f>
        <v>Document No. (Challan No. /Bill No.)</v>
      </c>
    </row>
    <row r="32" spans="1:10" x14ac:dyDescent="0.25">
      <c r="A32" s="6" t="s">
        <v>60</v>
      </c>
      <c r="B32" s="6" t="s">
        <v>142</v>
      </c>
      <c r="C32" s="4" t="s">
        <v>234</v>
      </c>
      <c r="D32" s="8" t="s">
        <v>60</v>
      </c>
    </row>
    <row r="33" spans="1:4" x14ac:dyDescent="0.25">
      <c r="A33" s="6" t="s">
        <v>156</v>
      </c>
      <c r="B33" s="6" t="s">
        <v>156</v>
      </c>
      <c r="C33" s="4" t="s">
        <v>206</v>
      </c>
    </row>
    <row r="34" spans="1:4" s="12" customFormat="1" x14ac:dyDescent="0.25">
      <c r="A34" s="9" t="s">
        <v>157</v>
      </c>
      <c r="B34" s="9" t="s">
        <v>128</v>
      </c>
      <c r="C34" s="10" t="s">
        <v>267</v>
      </c>
      <c r="D34" s="11"/>
    </row>
    <row r="35" spans="1:4" x14ac:dyDescent="0.25">
      <c r="A35" s="6" t="s">
        <v>158</v>
      </c>
      <c r="B35" s="6" t="s">
        <v>113</v>
      </c>
      <c r="C35" s="4" t="s">
        <v>206</v>
      </c>
    </row>
    <row r="36" spans="1:4" x14ac:dyDescent="0.25">
      <c r="A36" s="6" t="s">
        <v>159</v>
      </c>
      <c r="B36" s="6" t="s">
        <v>115</v>
      </c>
      <c r="C36" s="4" t="s">
        <v>234</v>
      </c>
    </row>
    <row r="37" spans="1:4" x14ac:dyDescent="0.25">
      <c r="A37" s="6" t="s">
        <v>160</v>
      </c>
      <c r="B37" s="6" t="s">
        <v>114</v>
      </c>
      <c r="C37" s="4" t="s">
        <v>234</v>
      </c>
    </row>
    <row r="38" spans="1:4" ht="30" x14ac:dyDescent="0.25">
      <c r="A38" s="6" t="s">
        <v>161</v>
      </c>
      <c r="B38" s="6" t="s">
        <v>116</v>
      </c>
      <c r="C38" s="4" t="s">
        <v>234</v>
      </c>
    </row>
    <row r="39" spans="1:4" ht="45" x14ac:dyDescent="0.25">
      <c r="A39" s="6" t="s">
        <v>162</v>
      </c>
      <c r="B39" s="6" t="s">
        <v>118</v>
      </c>
      <c r="C39" s="4" t="s">
        <v>234</v>
      </c>
    </row>
    <row r="40" spans="1:4" x14ac:dyDescent="0.25">
      <c r="A40" s="6" t="s">
        <v>163</v>
      </c>
      <c r="B40" s="6" t="s">
        <v>131</v>
      </c>
      <c r="C40" s="4" t="s">
        <v>0</v>
      </c>
    </row>
    <row r="41" spans="1:4" x14ac:dyDescent="0.25">
      <c r="A41" s="6" t="s">
        <v>164</v>
      </c>
      <c r="B41" s="6" t="s">
        <v>134</v>
      </c>
      <c r="C41" s="4" t="s">
        <v>234</v>
      </c>
    </row>
    <row r="42" spans="1:4" x14ac:dyDescent="0.25">
      <c r="A42" s="6" t="s">
        <v>165</v>
      </c>
      <c r="B42" s="6" t="s">
        <v>106</v>
      </c>
      <c r="C42" s="4" t="s">
        <v>205</v>
      </c>
    </row>
    <row r="43" spans="1:4" x14ac:dyDescent="0.25">
      <c r="A43" s="6" t="s">
        <v>166</v>
      </c>
      <c r="B43" s="6" t="s">
        <v>146</v>
      </c>
      <c r="C43" s="4" t="s">
        <v>234</v>
      </c>
    </row>
    <row r="44" spans="1:4" x14ac:dyDescent="0.25">
      <c r="A44" s="6" t="s">
        <v>167</v>
      </c>
      <c r="B44" s="6" t="s">
        <v>110</v>
      </c>
      <c r="C44" s="4" t="s">
        <v>234</v>
      </c>
    </row>
    <row r="45" spans="1:4" x14ac:dyDescent="0.25">
      <c r="A45" s="6" t="s">
        <v>36</v>
      </c>
      <c r="B45" s="6" t="s">
        <v>135</v>
      </c>
      <c r="C45" s="4" t="s">
        <v>234</v>
      </c>
    </row>
    <row r="46" spans="1:4" x14ac:dyDescent="0.25">
      <c r="A46" s="6" t="s">
        <v>168</v>
      </c>
      <c r="B46" s="6" t="s">
        <v>138</v>
      </c>
      <c r="C46" s="4" t="s">
        <v>234</v>
      </c>
    </row>
    <row r="47" spans="1:4" x14ac:dyDescent="0.25">
      <c r="A47" s="6" t="s">
        <v>61</v>
      </c>
      <c r="B47" s="7" t="s">
        <v>199</v>
      </c>
      <c r="C47" s="3" t="s">
        <v>234</v>
      </c>
    </row>
    <row r="48" spans="1:4" x14ac:dyDescent="0.25">
      <c r="A48" s="6" t="s">
        <v>80</v>
      </c>
      <c r="B48" s="7" t="s">
        <v>199</v>
      </c>
      <c r="C48" s="3" t="s">
        <v>234</v>
      </c>
    </row>
    <row r="49" spans="1:5" x14ac:dyDescent="0.25">
      <c r="A49" s="6" t="s">
        <v>169</v>
      </c>
      <c r="B49" s="6" t="s">
        <v>145</v>
      </c>
      <c r="C49" s="4" t="s">
        <v>234</v>
      </c>
    </row>
    <row r="50" spans="1:5" ht="30" x14ac:dyDescent="0.25">
      <c r="A50" s="6" t="s">
        <v>170</v>
      </c>
      <c r="B50" s="6" t="s">
        <v>200</v>
      </c>
      <c r="C50" s="4" t="s">
        <v>234</v>
      </c>
      <c r="E50" t="s">
        <v>201</v>
      </c>
    </row>
    <row r="51" spans="1:5" x14ac:dyDescent="0.25">
      <c r="A51" s="6" t="s">
        <v>81</v>
      </c>
      <c r="B51" s="7" t="s">
        <v>199</v>
      </c>
      <c r="C51" s="3" t="s">
        <v>30</v>
      </c>
      <c r="D51" s="8" t="s">
        <v>268</v>
      </c>
    </row>
    <row r="52" spans="1:5" x14ac:dyDescent="0.25">
      <c r="A52" s="6" t="s">
        <v>92</v>
      </c>
      <c r="B52" s="7" t="s">
        <v>199</v>
      </c>
      <c r="C52" s="3" t="s">
        <v>205</v>
      </c>
    </row>
    <row r="53" spans="1:5" x14ac:dyDescent="0.25">
      <c r="A53" s="6" t="s">
        <v>91</v>
      </c>
      <c r="B53" s="7" t="s">
        <v>199</v>
      </c>
      <c r="C53" s="3" t="s">
        <v>205</v>
      </c>
    </row>
    <row r="54" spans="1:5" x14ac:dyDescent="0.25">
      <c r="A54" s="6" t="s">
        <v>82</v>
      </c>
      <c r="B54" s="6" t="s">
        <v>43</v>
      </c>
      <c r="C54" s="4" t="s">
        <v>267</v>
      </c>
    </row>
    <row r="55" spans="1:5" x14ac:dyDescent="0.25">
      <c r="A55" s="6" t="s">
        <v>18</v>
      </c>
      <c r="B55" s="6" t="s">
        <v>15</v>
      </c>
      <c r="C55" s="4" t="s">
        <v>205</v>
      </c>
    </row>
    <row r="56" spans="1:5" x14ac:dyDescent="0.25">
      <c r="A56" s="6" t="s">
        <v>83</v>
      </c>
      <c r="B56" s="7" t="s">
        <v>199</v>
      </c>
      <c r="C56" s="3" t="s">
        <v>208</v>
      </c>
      <c r="D56" s="8" t="s">
        <v>232</v>
      </c>
    </row>
    <row r="57" spans="1:5" x14ac:dyDescent="0.25">
      <c r="A57" s="6" t="s">
        <v>84</v>
      </c>
      <c r="B57" s="7" t="s">
        <v>199</v>
      </c>
      <c r="C57" s="3" t="s">
        <v>30</v>
      </c>
    </row>
    <row r="58" spans="1:5" x14ac:dyDescent="0.25">
      <c r="A58" s="6" t="s">
        <v>85</v>
      </c>
      <c r="B58" s="7" t="s">
        <v>199</v>
      </c>
      <c r="C58" s="3" t="s">
        <v>30</v>
      </c>
      <c r="D58" s="8" t="s">
        <v>268</v>
      </c>
    </row>
    <row r="59" spans="1:5" x14ac:dyDescent="0.25">
      <c r="A59" s="6" t="s">
        <v>3</v>
      </c>
      <c r="B59" s="6" t="s">
        <v>32</v>
      </c>
      <c r="C59" s="4" t="s">
        <v>206</v>
      </c>
    </row>
    <row r="60" spans="1:5" x14ac:dyDescent="0.25">
      <c r="A60" s="6" t="s">
        <v>23</v>
      </c>
      <c r="B60" s="7" t="s">
        <v>199</v>
      </c>
      <c r="C60" s="3" t="s">
        <v>234</v>
      </c>
      <c r="D60" s="8" t="s">
        <v>235</v>
      </c>
    </row>
    <row r="61" spans="1:5" x14ac:dyDescent="0.25">
      <c r="A61" s="6" t="s">
        <v>73</v>
      </c>
      <c r="B61" s="7" t="s">
        <v>199</v>
      </c>
      <c r="C61" s="3"/>
    </row>
    <row r="62" spans="1:5" x14ac:dyDescent="0.25">
      <c r="A62" s="6" t="s">
        <v>172</v>
      </c>
      <c r="B62" s="6" t="s">
        <v>103</v>
      </c>
      <c r="C62" s="4" t="s">
        <v>208</v>
      </c>
      <c r="D62" s="8" t="s">
        <v>48</v>
      </c>
    </row>
    <row r="63" spans="1:5" x14ac:dyDescent="0.25">
      <c r="A63" s="6" t="s">
        <v>173</v>
      </c>
      <c r="B63" s="6" t="s">
        <v>107</v>
      </c>
      <c r="C63" s="4" t="s">
        <v>205</v>
      </c>
    </row>
    <row r="64" spans="1:5" ht="30" x14ac:dyDescent="0.25">
      <c r="A64" s="6" t="s">
        <v>174</v>
      </c>
      <c r="B64" s="7" t="s">
        <v>199</v>
      </c>
      <c r="C64" s="3" t="s">
        <v>205</v>
      </c>
    </row>
    <row r="65" spans="1:4" x14ac:dyDescent="0.25">
      <c r="A65" s="6" t="s">
        <v>175</v>
      </c>
      <c r="B65" s="6" t="s">
        <v>111</v>
      </c>
      <c r="C65" s="4" t="s">
        <v>234</v>
      </c>
    </row>
    <row r="66" spans="1:4" x14ac:dyDescent="0.25">
      <c r="A66" s="6" t="s">
        <v>89</v>
      </c>
      <c r="B66" s="7" t="s">
        <v>199</v>
      </c>
      <c r="C66" s="3" t="s">
        <v>234</v>
      </c>
    </row>
    <row r="67" spans="1:4" x14ac:dyDescent="0.25">
      <c r="A67" s="6" t="s">
        <v>19</v>
      </c>
      <c r="B67" s="7" t="s">
        <v>199</v>
      </c>
      <c r="C67" s="3" t="s">
        <v>205</v>
      </c>
    </row>
    <row r="68" spans="1:4" x14ac:dyDescent="0.25">
      <c r="A68" s="6" t="s">
        <v>176</v>
      </c>
      <c r="B68" s="6" t="s">
        <v>141</v>
      </c>
      <c r="C68" s="4" t="s">
        <v>30</v>
      </c>
    </row>
    <row r="69" spans="1:4" x14ac:dyDescent="0.25">
      <c r="A69" s="6" t="s">
        <v>177</v>
      </c>
      <c r="B69" s="6" t="s">
        <v>143</v>
      </c>
      <c r="C69" s="4" t="s">
        <v>30</v>
      </c>
    </row>
    <row r="70" spans="1:4" x14ac:dyDescent="0.25">
      <c r="A70" s="6" t="s">
        <v>178</v>
      </c>
      <c r="B70" s="6" t="s">
        <v>129</v>
      </c>
      <c r="C70" s="4" t="s">
        <v>267</v>
      </c>
    </row>
    <row r="71" spans="1:4" x14ac:dyDescent="0.25">
      <c r="A71" s="6" t="s">
        <v>179</v>
      </c>
      <c r="B71" s="7" t="s">
        <v>199</v>
      </c>
      <c r="C71" s="3" t="s">
        <v>30</v>
      </c>
    </row>
    <row r="72" spans="1:4" x14ac:dyDescent="0.25">
      <c r="A72" s="6" t="s">
        <v>180</v>
      </c>
      <c r="B72" s="6" t="s">
        <v>109</v>
      </c>
      <c r="C72" s="4" t="s">
        <v>30</v>
      </c>
    </row>
    <row r="73" spans="1:4" x14ac:dyDescent="0.25">
      <c r="A73" s="6" t="s">
        <v>181</v>
      </c>
      <c r="B73" s="6" t="s">
        <v>108</v>
      </c>
      <c r="C73" s="4" t="s">
        <v>30</v>
      </c>
    </row>
    <row r="74" spans="1:4" x14ac:dyDescent="0.25">
      <c r="A74" s="6" t="s">
        <v>88</v>
      </c>
      <c r="B74" s="6" t="s">
        <v>121</v>
      </c>
      <c r="C74" s="4" t="s">
        <v>30</v>
      </c>
    </row>
    <row r="75" spans="1:4" x14ac:dyDescent="0.25">
      <c r="A75" s="6" t="s">
        <v>62</v>
      </c>
      <c r="B75" s="7" t="s">
        <v>199</v>
      </c>
      <c r="C75" s="3" t="s">
        <v>30</v>
      </c>
      <c r="D75" s="8" t="s">
        <v>269</v>
      </c>
    </row>
    <row r="76" spans="1:4" x14ac:dyDescent="0.25">
      <c r="A76" s="6" t="s">
        <v>13</v>
      </c>
      <c r="B76" s="6" t="s">
        <v>28</v>
      </c>
      <c r="C76" s="4" t="s">
        <v>30</v>
      </c>
    </row>
    <row r="77" spans="1:4" x14ac:dyDescent="0.25">
      <c r="A77" s="6" t="s">
        <v>9</v>
      </c>
      <c r="B77" s="6" t="s">
        <v>16</v>
      </c>
      <c r="C77" s="4" t="s">
        <v>267</v>
      </c>
    </row>
    <row r="78" spans="1:4" x14ac:dyDescent="0.25">
      <c r="A78" s="6" t="s">
        <v>182</v>
      </c>
      <c r="B78" s="6" t="s">
        <v>105</v>
      </c>
      <c r="C78" s="4" t="s">
        <v>205</v>
      </c>
    </row>
    <row r="79" spans="1:4" x14ac:dyDescent="0.25">
      <c r="A79" s="6" t="s">
        <v>2</v>
      </c>
      <c r="B79" s="6" t="s">
        <v>99</v>
      </c>
      <c r="C79" s="4" t="s">
        <v>267</v>
      </c>
    </row>
    <row r="80" spans="1:4" x14ac:dyDescent="0.25">
      <c r="A80" s="6" t="s">
        <v>20</v>
      </c>
      <c r="B80" s="7" t="s">
        <v>199</v>
      </c>
      <c r="C80" s="3" t="s">
        <v>234</v>
      </c>
    </row>
    <row r="81" spans="1:4" x14ac:dyDescent="0.25">
      <c r="A81" s="6" t="s">
        <v>75</v>
      </c>
      <c r="B81" s="6" t="s">
        <v>112</v>
      </c>
      <c r="C81" s="4" t="s">
        <v>234</v>
      </c>
    </row>
    <row r="82" spans="1:4" x14ac:dyDescent="0.25">
      <c r="A82" s="6" t="s">
        <v>183</v>
      </c>
      <c r="B82" s="6" t="s">
        <v>104</v>
      </c>
      <c r="C82" s="4" t="s">
        <v>205</v>
      </c>
    </row>
    <row r="83" spans="1:4" x14ac:dyDescent="0.25">
      <c r="A83" s="6" t="s">
        <v>184</v>
      </c>
      <c r="B83" s="6" t="s">
        <v>130</v>
      </c>
      <c r="C83" s="4" t="s">
        <v>205</v>
      </c>
    </row>
    <row r="84" spans="1:4" x14ac:dyDescent="0.25">
      <c r="A84" s="6" t="s">
        <v>185</v>
      </c>
      <c r="B84" s="6" t="s">
        <v>133</v>
      </c>
      <c r="C84" s="4" t="s">
        <v>234</v>
      </c>
    </row>
    <row r="85" spans="1:4" x14ac:dyDescent="0.25">
      <c r="A85" s="6" t="s">
        <v>186</v>
      </c>
      <c r="B85" s="6" t="s">
        <v>132</v>
      </c>
      <c r="C85" s="4" t="s">
        <v>234</v>
      </c>
    </row>
    <row r="86" spans="1:4" x14ac:dyDescent="0.25">
      <c r="A86" s="6" t="s">
        <v>93</v>
      </c>
      <c r="B86" s="6" t="s">
        <v>98</v>
      </c>
      <c r="C86" s="4" t="s">
        <v>267</v>
      </c>
    </row>
    <row r="87" spans="1:4" x14ac:dyDescent="0.25">
      <c r="A87" s="6" t="s">
        <v>37</v>
      </c>
      <c r="B87" s="6" t="s">
        <v>140</v>
      </c>
      <c r="C87" s="4" t="s">
        <v>234</v>
      </c>
    </row>
    <row r="88" spans="1:4" x14ac:dyDescent="0.25">
      <c r="A88" s="6" t="s">
        <v>187</v>
      </c>
      <c r="B88" s="6" t="s">
        <v>126</v>
      </c>
      <c r="C88" s="4" t="s">
        <v>234</v>
      </c>
    </row>
    <row r="89" spans="1:4" x14ac:dyDescent="0.25">
      <c r="A89" s="6" t="s">
        <v>188</v>
      </c>
      <c r="B89" s="6" t="s">
        <v>137</v>
      </c>
      <c r="C89" s="4" t="s">
        <v>234</v>
      </c>
    </row>
    <row r="90" spans="1:4" x14ac:dyDescent="0.25">
      <c r="A90" s="6" t="s">
        <v>189</v>
      </c>
      <c r="B90" s="6" t="s">
        <v>120</v>
      </c>
      <c r="C90" s="4" t="s">
        <v>234</v>
      </c>
    </row>
    <row r="91" spans="1:4" x14ac:dyDescent="0.25">
      <c r="A91" s="6" t="s">
        <v>190</v>
      </c>
      <c r="B91" s="6" t="s">
        <v>136</v>
      </c>
      <c r="C91" s="4" t="s">
        <v>234</v>
      </c>
    </row>
    <row r="92" spans="1:4" x14ac:dyDescent="0.25">
      <c r="A92" s="6" t="s">
        <v>86</v>
      </c>
      <c r="B92" s="7" t="s">
        <v>199</v>
      </c>
      <c r="C92" s="3" t="s">
        <v>234</v>
      </c>
    </row>
    <row r="93" spans="1:4" x14ac:dyDescent="0.25">
      <c r="A93" s="6" t="s">
        <v>38</v>
      </c>
      <c r="B93" s="7" t="s">
        <v>199</v>
      </c>
      <c r="C93" s="3" t="s">
        <v>0</v>
      </c>
    </row>
    <row r="94" spans="1:4" x14ac:dyDescent="0.25">
      <c r="A94" s="6" t="s">
        <v>191</v>
      </c>
      <c r="B94" s="6" t="s">
        <v>144</v>
      </c>
      <c r="C94" s="4" t="s">
        <v>208</v>
      </c>
      <c r="D94" s="8" t="s">
        <v>207</v>
      </c>
    </row>
    <row r="95" spans="1:4" x14ac:dyDescent="0.25">
      <c r="A95" s="6" t="s">
        <v>5</v>
      </c>
      <c r="B95" s="7" t="s">
        <v>199</v>
      </c>
      <c r="C95" s="4" t="s">
        <v>208</v>
      </c>
      <c r="D95" s="8" t="s">
        <v>266</v>
      </c>
    </row>
    <row r="96" spans="1:4" x14ac:dyDescent="0.25">
      <c r="A96" s="6" t="s">
        <v>192</v>
      </c>
      <c r="B96" s="6" t="s">
        <v>117</v>
      </c>
      <c r="C96" s="4" t="s">
        <v>267</v>
      </c>
    </row>
    <row r="97" spans="1:5" x14ac:dyDescent="0.25">
      <c r="A97" s="6" t="s">
        <v>4</v>
      </c>
      <c r="B97" s="6" t="s">
        <v>26</v>
      </c>
      <c r="C97" s="4" t="s">
        <v>208</v>
      </c>
    </row>
    <row r="98" spans="1:5" ht="30" x14ac:dyDescent="0.25">
      <c r="A98" s="6" t="s">
        <v>8</v>
      </c>
      <c r="B98" s="7" t="s">
        <v>199</v>
      </c>
      <c r="C98" s="3" t="s">
        <v>205</v>
      </c>
    </row>
    <row r="99" spans="1:5" x14ac:dyDescent="0.25">
      <c r="A99" s="6" t="s">
        <v>7</v>
      </c>
      <c r="B99" s="7" t="s">
        <v>199</v>
      </c>
      <c r="C99" s="3" t="s">
        <v>205</v>
      </c>
    </row>
    <row r="100" spans="1:5" x14ac:dyDescent="0.25">
      <c r="A100" s="6" t="s">
        <v>6</v>
      </c>
      <c r="B100" s="7" t="s">
        <v>199</v>
      </c>
      <c r="C100" s="3" t="s">
        <v>205</v>
      </c>
    </row>
    <row r="101" spans="1:5" x14ac:dyDescent="0.25">
      <c r="A101" s="6" t="s">
        <v>34</v>
      </c>
      <c r="B101" s="7" t="s">
        <v>199</v>
      </c>
      <c r="C101" s="3" t="s">
        <v>267</v>
      </c>
    </row>
    <row r="102" spans="1:5" x14ac:dyDescent="0.25">
      <c r="A102" s="6" t="s">
        <v>193</v>
      </c>
      <c r="B102" s="6" t="s">
        <v>127</v>
      </c>
      <c r="C102" s="4" t="s">
        <v>206</v>
      </c>
    </row>
    <row r="103" spans="1:5" ht="30" x14ac:dyDescent="0.25">
      <c r="A103" s="6" t="s">
        <v>194</v>
      </c>
      <c r="B103" s="6" t="s">
        <v>100</v>
      </c>
      <c r="C103" s="4" t="s">
        <v>206</v>
      </c>
      <c r="D103" s="8" t="s">
        <v>68</v>
      </c>
    </row>
    <row r="104" spans="1:5" ht="30" x14ac:dyDescent="0.25">
      <c r="A104" s="6" t="s">
        <v>195</v>
      </c>
      <c r="B104" s="6" t="s">
        <v>101</v>
      </c>
      <c r="C104" s="4" t="s">
        <v>206</v>
      </c>
      <c r="D104" s="8" t="s">
        <v>195</v>
      </c>
    </row>
    <row r="105" spans="1:5" x14ac:dyDescent="0.25">
      <c r="A105" s="6" t="s">
        <v>24</v>
      </c>
      <c r="B105" s="7" t="s">
        <v>199</v>
      </c>
      <c r="C105" s="3" t="s">
        <v>234</v>
      </c>
      <c r="D105" s="8" t="s">
        <v>235</v>
      </c>
    </row>
    <row r="106" spans="1:5" x14ac:dyDescent="0.25">
      <c r="A106" s="6" t="s">
        <v>198</v>
      </c>
      <c r="B106" s="6" t="s">
        <v>124</v>
      </c>
      <c r="C106" s="4" t="s">
        <v>208</v>
      </c>
      <c r="D106" s="8" t="s">
        <v>270</v>
      </c>
      <c r="E106" t="s">
        <v>202</v>
      </c>
    </row>
  </sheetData>
  <autoFilter ref="A1:C106" xr:uid="{B2FF2B54-843B-4DFD-A5F2-A080B185A0BE}"/>
  <sortState xmlns:xlrd2="http://schemas.microsoft.com/office/spreadsheetml/2017/richdata2" ref="A2:J107">
    <sortCondition ref="A2:A107"/>
  </sortState>
  <conditionalFormatting sqref="A107:C1048576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03944E1-FEE0-4721-8F1A-69DAC4C4F586}">
          <x14:formula1>
            <xm:f>Sheet2!$C$2:$C$28</xm:f>
          </x14:formula1>
          <xm:sqref>D56</xm:sqref>
        </x14:dataValidation>
        <x14:dataValidation type="list" allowBlank="1" showInputMessage="1" showErrorMessage="1" xr:uid="{FC2E9A6C-BC57-4BBC-8AC9-660C2D935DC3}">
          <x14:formula1>
            <xm:f>Sheet2!$D$2:$D$5</xm:f>
          </x14:formula1>
          <xm:sqref>E18</xm:sqref>
        </x14:dataValidation>
        <x14:dataValidation type="list" allowBlank="1" showInputMessage="1" showErrorMessage="1" xr:uid="{32C44233-C984-4728-9C54-2F78FDAED857}">
          <x14:formula1>
            <xm:f>Sheet2!$E$2:$E$17</xm:f>
          </x14:formula1>
          <xm:sqref>D95</xm:sqref>
        </x14:dataValidation>
        <x14:dataValidation type="list" allowBlank="1" showInputMessage="1" showErrorMessage="1" xr:uid="{B7992EAE-BCD6-4F4C-8BCF-55BB05ACBDB5}">
          <x14:formula1>
            <xm:f>Sheet2!$B$2:$B$11</xm:f>
          </x14:formula1>
          <xm:sqref>D62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F7D2-072A-4978-806D-EAADE7F2BADF}">
  <dimension ref="A1:E29"/>
  <sheetViews>
    <sheetView workbookViewId="0">
      <selection activeCell="C1" sqref="C1"/>
    </sheetView>
  </sheetViews>
  <sheetFormatPr defaultRowHeight="15" x14ac:dyDescent="0.25"/>
  <cols>
    <col min="1" max="1" width="10.42578125" bestFit="1" customWidth="1"/>
    <col min="2" max="2" width="28.28515625" bestFit="1" customWidth="1"/>
    <col min="3" max="3" width="22.28515625" bestFit="1" customWidth="1"/>
  </cols>
  <sheetData>
    <row r="1" spans="1:5" x14ac:dyDescent="0.25">
      <c r="A1" t="s">
        <v>17</v>
      </c>
      <c r="B1" t="s">
        <v>58</v>
      </c>
      <c r="C1" s="6" t="s">
        <v>83</v>
      </c>
      <c r="D1" t="s">
        <v>39</v>
      </c>
      <c r="E1" t="s">
        <v>5</v>
      </c>
    </row>
    <row r="2" spans="1:5" x14ac:dyDescent="0.25">
      <c r="A2" t="s">
        <v>44</v>
      </c>
      <c r="B2" t="s">
        <v>48</v>
      </c>
      <c r="C2" t="s">
        <v>232</v>
      </c>
      <c r="D2" t="s">
        <v>239</v>
      </c>
      <c r="E2" t="s">
        <v>251</v>
      </c>
    </row>
    <row r="3" spans="1:5" x14ac:dyDescent="0.25">
      <c r="A3" t="s">
        <v>45</v>
      </c>
      <c r="B3" t="s">
        <v>49</v>
      </c>
      <c r="C3" t="s">
        <v>209</v>
      </c>
      <c r="D3" t="s">
        <v>240</v>
      </c>
      <c r="E3" t="s">
        <v>264</v>
      </c>
    </row>
    <row r="4" spans="1:5" x14ac:dyDescent="0.25">
      <c r="A4" t="s">
        <v>46</v>
      </c>
      <c r="B4" t="s">
        <v>50</v>
      </c>
      <c r="C4" t="s">
        <v>229</v>
      </c>
      <c r="D4" t="s">
        <v>241</v>
      </c>
      <c r="E4" t="s">
        <v>266</v>
      </c>
    </row>
    <row r="5" spans="1:5" x14ac:dyDescent="0.25">
      <c r="A5" t="s">
        <v>47</v>
      </c>
      <c r="B5" t="s">
        <v>51</v>
      </c>
      <c r="C5" t="s">
        <v>210</v>
      </c>
      <c r="D5" t="s">
        <v>242</v>
      </c>
      <c r="E5" t="s">
        <v>252</v>
      </c>
    </row>
    <row r="6" spans="1:5" x14ac:dyDescent="0.25">
      <c r="B6" t="s">
        <v>52</v>
      </c>
      <c r="C6" t="s">
        <v>22</v>
      </c>
      <c r="D6" t="s">
        <v>243</v>
      </c>
      <c r="E6" t="s">
        <v>259</v>
      </c>
    </row>
    <row r="7" spans="1:5" x14ac:dyDescent="0.25">
      <c r="B7" t="s">
        <v>53</v>
      </c>
      <c r="C7" t="s">
        <v>226</v>
      </c>
      <c r="E7" t="s">
        <v>260</v>
      </c>
    </row>
    <row r="8" spans="1:5" x14ac:dyDescent="0.25">
      <c r="B8" t="s">
        <v>54</v>
      </c>
      <c r="C8" t="s">
        <v>218</v>
      </c>
      <c r="E8" t="s">
        <v>265</v>
      </c>
    </row>
    <row r="9" spans="1:5" x14ac:dyDescent="0.25">
      <c r="B9" t="s">
        <v>55</v>
      </c>
      <c r="C9" t="s">
        <v>219</v>
      </c>
      <c r="E9" t="s">
        <v>258</v>
      </c>
    </row>
    <row r="10" spans="1:5" x14ac:dyDescent="0.25">
      <c r="B10" t="s">
        <v>56</v>
      </c>
      <c r="C10" t="s">
        <v>230</v>
      </c>
      <c r="E10" t="s">
        <v>262</v>
      </c>
    </row>
    <row r="11" spans="1:5" x14ac:dyDescent="0.25">
      <c r="B11" t="s">
        <v>57</v>
      </c>
      <c r="C11" t="s">
        <v>220</v>
      </c>
      <c r="E11" t="s">
        <v>263</v>
      </c>
    </row>
    <row r="12" spans="1:5" x14ac:dyDescent="0.25">
      <c r="C12" t="s">
        <v>222</v>
      </c>
      <c r="E12" t="s">
        <v>261</v>
      </c>
    </row>
    <row r="13" spans="1:5" x14ac:dyDescent="0.25">
      <c r="C13" t="s">
        <v>223</v>
      </c>
      <c r="E13" t="s">
        <v>255</v>
      </c>
    </row>
    <row r="14" spans="1:5" x14ac:dyDescent="0.25">
      <c r="C14" t="s">
        <v>211</v>
      </c>
      <c r="E14" t="s">
        <v>257</v>
      </c>
    </row>
    <row r="15" spans="1:5" x14ac:dyDescent="0.25">
      <c r="C15" t="s">
        <v>212</v>
      </c>
      <c r="E15" t="s">
        <v>253</v>
      </c>
    </row>
    <row r="16" spans="1:5" x14ac:dyDescent="0.25">
      <c r="C16" t="s">
        <v>23</v>
      </c>
      <c r="E16" t="s">
        <v>256</v>
      </c>
    </row>
    <row r="17" spans="3:5" x14ac:dyDescent="0.25">
      <c r="C17" t="s">
        <v>227</v>
      </c>
      <c r="E17" t="s">
        <v>254</v>
      </c>
    </row>
    <row r="18" spans="3:5" x14ac:dyDescent="0.25">
      <c r="C18" t="s">
        <v>214</v>
      </c>
    </row>
    <row r="19" spans="3:5" x14ac:dyDescent="0.25">
      <c r="C19" t="s">
        <v>215</v>
      </c>
    </row>
    <row r="20" spans="3:5" x14ac:dyDescent="0.25">
      <c r="C20" t="s">
        <v>221</v>
      </c>
    </row>
    <row r="21" spans="3:5" x14ac:dyDescent="0.25">
      <c r="C21" t="s">
        <v>231</v>
      </c>
    </row>
    <row r="22" spans="3:5" x14ac:dyDescent="0.25">
      <c r="C22" t="s">
        <v>225</v>
      </c>
    </row>
    <row r="23" spans="3:5" x14ac:dyDescent="0.25">
      <c r="C23" t="s">
        <v>213</v>
      </c>
    </row>
    <row r="24" spans="3:5" x14ac:dyDescent="0.25">
      <c r="C24" t="s">
        <v>224</v>
      </c>
    </row>
    <row r="25" spans="3:5" x14ac:dyDescent="0.25">
      <c r="C25" t="s">
        <v>217</v>
      </c>
    </row>
    <row r="26" spans="3:5" x14ac:dyDescent="0.25">
      <c r="C26" t="s">
        <v>228</v>
      </c>
    </row>
    <row r="27" spans="3:5" x14ac:dyDescent="0.25">
      <c r="C27" t="s">
        <v>216</v>
      </c>
    </row>
    <row r="28" spans="3:5" x14ac:dyDescent="0.25">
      <c r="C28" t="s">
        <v>233</v>
      </c>
    </row>
    <row r="29" spans="3:5" x14ac:dyDescent="0.25">
      <c r="C29" t="s">
        <v>243</v>
      </c>
    </row>
  </sheetData>
  <sortState xmlns:xlrd2="http://schemas.microsoft.com/office/spreadsheetml/2017/richdata2" ref="E3:E154">
    <sortCondition ref="E3:E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Keluskar</dc:creator>
  <cp:lastModifiedBy>Sudhir Keluskar</cp:lastModifiedBy>
  <dcterms:created xsi:type="dcterms:W3CDTF">2024-04-12T10:36:12Z</dcterms:created>
  <dcterms:modified xsi:type="dcterms:W3CDTF">2024-04-22T12:11:45Z</dcterms:modified>
</cp:coreProperties>
</file>